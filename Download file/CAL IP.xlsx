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0bee3db421396e91/ThanhNhan/_technical/Siargo/"/>
    </mc:Choice>
  </mc:AlternateContent>
  <xr:revisionPtr revIDLastSave="0" documentId="11_48FF470D69CB83397EE5A2942ABCA74B095A19B3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D5" i="2"/>
  <c r="AC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B4" i="2"/>
  <c r="AA4" i="2"/>
  <c r="Z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W3" i="2"/>
  <c r="V3" i="2"/>
  <c r="U3" i="2"/>
  <c r="T3" i="2"/>
  <c r="S3" i="2"/>
  <c r="R3" i="2"/>
  <c r="B18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W13" i="1"/>
  <c r="V13" i="1"/>
  <c r="U13" i="1"/>
  <c r="T13" i="1"/>
  <c r="S13" i="1"/>
  <c r="R13" i="1"/>
  <c r="AC10" i="1"/>
  <c r="AB10" i="1"/>
  <c r="AA10" i="1"/>
  <c r="Z10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A5" i="1"/>
  <c r="Z5" i="1"/>
  <c r="Y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</calcChain>
</file>

<file path=xl/sharedStrings.xml><?xml version="1.0" encoding="utf-8"?>
<sst xmlns="http://schemas.openxmlformats.org/spreadsheetml/2006/main" count="69" uniqueCount="26">
  <si>
    <r>
      <rPr>
        <u/>
        <sz val="11"/>
        <color theme="1"/>
        <rFont val="Calibri"/>
        <charset val="134"/>
      </rPr>
      <t xml:space="preserve">FE FE 68 10 </t>
    </r>
    <r>
      <rPr>
        <u/>
        <sz val="11"/>
        <color rgb="FFFF0000"/>
        <rFont val="Calibri"/>
        <charset val="134"/>
      </rPr>
      <t>01 00 00 00 00 00 00</t>
    </r>
    <r>
      <rPr>
        <u/>
        <sz val="11"/>
        <color theme="1"/>
        <rFont val="Calibri"/>
        <charset val="134"/>
      </rPr>
      <t xml:space="preserve"> 01 03 90 4F 00 5C 16</t>
    </r>
  </si>
  <si>
    <t>FE</t>
  </si>
  <si>
    <t>4F</t>
  </si>
  <si>
    <t>5C</t>
  </si>
  <si>
    <t>A4</t>
  </si>
  <si>
    <t>F1</t>
  </si>
  <si>
    <t>TMA1</t>
  </si>
  <si>
    <t>$FE$FE$68$10$AA$AA$AA$AA$AA$AA$AA$24$09$F1$19$00$0E$A1$0E$9B$4E$22$1D$16</t>
  </si>
  <si>
    <t>hex</t>
  </si>
  <si>
    <t>AA</t>
  </si>
  <si>
    <t>E</t>
  </si>
  <si>
    <t>A1</t>
  </si>
  <si>
    <t>9B</t>
  </si>
  <si>
    <t>4E</t>
  </si>
  <si>
    <t>1D</t>
  </si>
  <si>
    <t>dec</t>
  </si>
  <si>
    <t>IP1</t>
  </si>
  <si>
    <t>IP2</t>
  </si>
  <si>
    <t>IP3</t>
  </si>
  <si>
    <t>IP4</t>
  </si>
  <si>
    <t>port</t>
  </si>
  <si>
    <t>TMA2</t>
  </si>
  <si>
    <t>14.161.14.155 10001</t>
  </si>
  <si>
    <t>Out</t>
  </si>
  <si>
    <t>14.161.14.155 10001  TMA</t>
  </si>
  <si>
    <t>$FE$FE$68$10$AA$AA$AA$AA$AA$AA$AA$24$09$F1$19$00$0E$A1$0E$9B$27$11$E5$16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</si>
</sst>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u/>
      <sz val="11"/>
      <color theme="1"/>
      <name val="Calibri"/>
      <charset val="134"/>
    </font>
    <font>
      <u/>
      <sz val="11"/>
      <color rgb="FFFF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3" fontId="0" fillId="0" borderId="0" xfId="0" applyNumberForma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8"/>
  <sheetViews>
    <sheetView tabSelected="1" workbookViewId="0">
      <selection activeCell="K14" sqref="K14"/>
    </sheetView>
  </sheetViews>
  <sheetFormatPr defaultColWidth="9" defaultRowHeight="15"/>
  <cols>
    <col min="2" max="2" width="5.140625" customWidth="1"/>
    <col min="3" max="4" width="4.5703125" customWidth="1"/>
    <col min="5" max="5" width="3.5703125" customWidth="1"/>
    <col min="6" max="7" width="3.85546875" customWidth="1"/>
    <col min="8" max="12" width="4.5703125" customWidth="1"/>
    <col min="13" max="13" width="3.7109375" customWidth="1"/>
    <col min="14" max="15" width="4.5703125" customWidth="1"/>
    <col min="16" max="17" width="3.5703125" customWidth="1"/>
    <col min="18" max="19" width="4.5703125" style="4" customWidth="1"/>
    <col min="20" max="20" width="3.5703125" style="4" customWidth="1"/>
    <col min="21" max="21" width="4.5703125" style="4" customWidth="1"/>
    <col min="22" max="22" width="6.5703125" style="4" customWidth="1"/>
    <col min="23" max="23" width="3.5703125" customWidth="1"/>
    <col min="24" max="24" width="3.7109375" customWidth="1"/>
    <col min="26" max="26" width="8.28515625" customWidth="1"/>
  </cols>
  <sheetData>
    <row r="1" spans="1:29">
      <c r="B1" s="5" t="s">
        <v>0</v>
      </c>
    </row>
    <row r="2" spans="1:29">
      <c r="B2" t="s">
        <v>1</v>
      </c>
      <c r="C2" t="s">
        <v>1</v>
      </c>
      <c r="D2">
        <v>68</v>
      </c>
      <c r="E2">
        <v>10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3</v>
      </c>
      <c r="O2">
        <v>90</v>
      </c>
      <c r="P2" t="s">
        <v>2</v>
      </c>
      <c r="Q2">
        <v>0</v>
      </c>
      <c r="R2" s="4" t="s">
        <v>3</v>
      </c>
      <c r="S2" s="4">
        <v>16</v>
      </c>
    </row>
    <row r="4" spans="1:29">
      <c r="B4" t="s">
        <v>1</v>
      </c>
      <c r="C4" t="s">
        <v>1</v>
      </c>
      <c r="D4">
        <v>68</v>
      </c>
      <c r="E4">
        <v>10</v>
      </c>
      <c r="F4">
        <v>1</v>
      </c>
      <c r="G4">
        <v>8</v>
      </c>
      <c r="H4">
        <v>11</v>
      </c>
      <c r="I4">
        <v>23</v>
      </c>
      <c r="J4">
        <v>20</v>
      </c>
      <c r="K4">
        <v>0</v>
      </c>
      <c r="L4">
        <v>0</v>
      </c>
      <c r="M4" t="s">
        <v>4</v>
      </c>
      <c r="N4">
        <v>3</v>
      </c>
      <c r="O4" t="s">
        <v>5</v>
      </c>
      <c r="P4">
        <v>19</v>
      </c>
      <c r="Q4">
        <v>0</v>
      </c>
      <c r="R4" s="4">
        <v>86</v>
      </c>
      <c r="S4" s="4">
        <v>16</v>
      </c>
    </row>
    <row r="5" spans="1:29">
      <c r="B5">
        <f>HEX2DEC(B4)</f>
        <v>254</v>
      </c>
      <c r="C5">
        <f t="shared" ref="C5:S5" si="0">HEX2DEC(C4)</f>
        <v>254</v>
      </c>
      <c r="D5">
        <f t="shared" si="0"/>
        <v>104</v>
      </c>
      <c r="E5">
        <f t="shared" si="0"/>
        <v>16</v>
      </c>
      <c r="F5">
        <f t="shared" si="0"/>
        <v>1</v>
      </c>
      <c r="G5">
        <f t="shared" si="0"/>
        <v>8</v>
      </c>
      <c r="H5">
        <f t="shared" si="0"/>
        <v>17</v>
      </c>
      <c r="I5">
        <f t="shared" si="0"/>
        <v>35</v>
      </c>
      <c r="J5">
        <f t="shared" si="0"/>
        <v>32</v>
      </c>
      <c r="K5">
        <f t="shared" si="0"/>
        <v>0</v>
      </c>
      <c r="L5">
        <f t="shared" si="0"/>
        <v>0</v>
      </c>
      <c r="M5">
        <f t="shared" si="0"/>
        <v>164</v>
      </c>
      <c r="N5">
        <f t="shared" si="0"/>
        <v>3</v>
      </c>
      <c r="O5">
        <f t="shared" si="0"/>
        <v>241</v>
      </c>
      <c r="P5">
        <f t="shared" si="0"/>
        <v>25</v>
      </c>
      <c r="Q5">
        <f t="shared" si="0"/>
        <v>0</v>
      </c>
      <c r="R5" s="4">
        <f t="shared" si="0"/>
        <v>134</v>
      </c>
      <c r="S5" s="4">
        <f t="shared" si="0"/>
        <v>22</v>
      </c>
      <c r="Y5">
        <f>SUM(D5:Q5)</f>
        <v>646</v>
      </c>
      <c r="Z5">
        <f>MOD(Y5,256)</f>
        <v>134</v>
      </c>
      <c r="AA5" t="str">
        <f>DEC2HEX(Z5)</f>
        <v>86</v>
      </c>
    </row>
    <row r="7" spans="1:29">
      <c r="A7" t="s">
        <v>6</v>
      </c>
      <c r="B7" t="s">
        <v>7</v>
      </c>
    </row>
    <row r="8" spans="1:29">
      <c r="A8" t="s">
        <v>8</v>
      </c>
      <c r="B8" t="s">
        <v>1</v>
      </c>
      <c r="C8" t="s">
        <v>1</v>
      </c>
      <c r="D8">
        <v>68</v>
      </c>
      <c r="E8">
        <v>10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>
        <v>24</v>
      </c>
      <c r="N8">
        <v>9</v>
      </c>
      <c r="O8" t="s">
        <v>5</v>
      </c>
      <c r="P8">
        <v>19</v>
      </c>
      <c r="Q8">
        <v>0</v>
      </c>
      <c r="R8" s="4" t="s">
        <v>10</v>
      </c>
      <c r="S8" s="4" t="s">
        <v>11</v>
      </c>
      <c r="T8" s="4" t="s">
        <v>10</v>
      </c>
      <c r="U8" s="4" t="s">
        <v>12</v>
      </c>
      <c r="V8" s="4" t="s">
        <v>13</v>
      </c>
      <c r="W8">
        <v>22</v>
      </c>
      <c r="X8" t="s">
        <v>14</v>
      </c>
      <c r="Y8">
        <v>16</v>
      </c>
    </row>
    <row r="9" spans="1:29">
      <c r="A9" t="s">
        <v>15</v>
      </c>
      <c r="B9">
        <f>HEX2DEC(B8)</f>
        <v>254</v>
      </c>
      <c r="C9">
        <f t="shared" ref="C9:X9" si="1">HEX2DEC(C8)</f>
        <v>254</v>
      </c>
      <c r="D9">
        <f t="shared" si="1"/>
        <v>104</v>
      </c>
      <c r="E9">
        <f t="shared" si="1"/>
        <v>16</v>
      </c>
      <c r="F9">
        <f t="shared" si="1"/>
        <v>170</v>
      </c>
      <c r="G9">
        <f t="shared" si="1"/>
        <v>170</v>
      </c>
      <c r="H9">
        <f t="shared" si="1"/>
        <v>170</v>
      </c>
      <c r="I9">
        <f t="shared" si="1"/>
        <v>170</v>
      </c>
      <c r="J9">
        <f t="shared" si="1"/>
        <v>170</v>
      </c>
      <c r="K9">
        <f t="shared" si="1"/>
        <v>170</v>
      </c>
      <c r="L9">
        <f t="shared" si="1"/>
        <v>170</v>
      </c>
      <c r="M9">
        <f t="shared" si="1"/>
        <v>36</v>
      </c>
      <c r="N9">
        <f t="shared" si="1"/>
        <v>9</v>
      </c>
      <c r="O9">
        <f t="shared" si="1"/>
        <v>241</v>
      </c>
      <c r="P9">
        <f t="shared" si="1"/>
        <v>25</v>
      </c>
      <c r="Q9">
        <f t="shared" si="1"/>
        <v>0</v>
      </c>
      <c r="R9" s="4">
        <f t="shared" si="1"/>
        <v>14</v>
      </c>
      <c r="S9" s="4">
        <f t="shared" si="1"/>
        <v>161</v>
      </c>
      <c r="T9" s="4">
        <f t="shared" si="1"/>
        <v>14</v>
      </c>
      <c r="U9" s="4">
        <f t="shared" si="1"/>
        <v>155</v>
      </c>
      <c r="V9" s="4">
        <f t="shared" si="1"/>
        <v>78</v>
      </c>
      <c r="W9">
        <f t="shared" si="1"/>
        <v>34</v>
      </c>
      <c r="X9">
        <f t="shared" si="1"/>
        <v>29</v>
      </c>
    </row>
    <row r="10" spans="1:29">
      <c r="Z10">
        <f>SUM(D9:W9)</f>
        <v>2077</v>
      </c>
      <c r="AA10">
        <f>MOD(Z10,256)</f>
        <v>29</v>
      </c>
      <c r="AB10" t="str">
        <f>DEC2HEX(AA10)</f>
        <v>1D</v>
      </c>
      <c r="AC10" t="str">
        <f>DEC2HEX(V12)</f>
        <v>2711</v>
      </c>
    </row>
    <row r="11" spans="1:29">
      <c r="R11" s="3" t="s">
        <v>16</v>
      </c>
      <c r="S11" s="3" t="s">
        <v>17</v>
      </c>
      <c r="T11" s="3" t="s">
        <v>18</v>
      </c>
      <c r="U11" s="3" t="s">
        <v>19</v>
      </c>
      <c r="V11" s="3" t="s">
        <v>20</v>
      </c>
    </row>
    <row r="12" spans="1:29">
      <c r="A12" t="s">
        <v>21</v>
      </c>
      <c r="B12" t="s">
        <v>22</v>
      </c>
      <c r="R12" s="4">
        <v>14</v>
      </c>
      <c r="S12" s="4">
        <v>161</v>
      </c>
      <c r="T12" s="4">
        <v>14</v>
      </c>
      <c r="U12" s="4">
        <v>155</v>
      </c>
      <c r="V12" s="4">
        <v>10001</v>
      </c>
    </row>
    <row r="13" spans="1:29">
      <c r="B13" t="s">
        <v>1</v>
      </c>
      <c r="C13" t="s">
        <v>1</v>
      </c>
      <c r="D13">
        <v>68</v>
      </c>
      <c r="E13">
        <v>10</v>
      </c>
      <c r="F13" t="s">
        <v>9</v>
      </c>
      <c r="G13" t="s">
        <v>9</v>
      </c>
      <c r="H13" t="s">
        <v>9</v>
      </c>
      <c r="I13" t="s">
        <v>9</v>
      </c>
      <c r="J13" t="s">
        <v>9</v>
      </c>
      <c r="K13" t="s">
        <v>9</v>
      </c>
      <c r="L13" t="s">
        <v>9</v>
      </c>
      <c r="M13">
        <v>24</v>
      </c>
      <c r="N13">
        <v>9</v>
      </c>
      <c r="O13" t="s">
        <v>5</v>
      </c>
      <c r="P13">
        <v>19</v>
      </c>
      <c r="Q13">
        <v>0</v>
      </c>
      <c r="R13" s="4" t="str">
        <f>DEC2HEX(R12)</f>
        <v>E</v>
      </c>
      <c r="S13" s="4" t="str">
        <f>DEC2HEX(S12)</f>
        <v>A1</v>
      </c>
      <c r="T13" s="4" t="str">
        <f>DEC2HEX(T12)</f>
        <v>E</v>
      </c>
      <c r="U13" s="4" t="str">
        <f>DEC2HEX(U12)</f>
        <v>9B</v>
      </c>
      <c r="V13" s="4" t="str">
        <f>DEC2HEX(V12/256)</f>
        <v>27</v>
      </c>
      <c r="W13" s="4" t="str">
        <f>DEC2HEX(MOD(V12,256))</f>
        <v>11</v>
      </c>
      <c r="X13" t="s">
        <v>14</v>
      </c>
      <c r="Y13">
        <v>16</v>
      </c>
    </row>
    <row r="14" spans="1:29">
      <c r="B14">
        <f>HEX2DEC(B13)</f>
        <v>254</v>
      </c>
      <c r="C14">
        <f t="shared" ref="C14:X14" si="2">HEX2DEC(C13)</f>
        <v>254</v>
      </c>
      <c r="D14">
        <f t="shared" si="2"/>
        <v>104</v>
      </c>
      <c r="E14">
        <f t="shared" si="2"/>
        <v>16</v>
      </c>
      <c r="F14">
        <f t="shared" si="2"/>
        <v>170</v>
      </c>
      <c r="G14">
        <f t="shared" si="2"/>
        <v>170</v>
      </c>
      <c r="H14">
        <f t="shared" si="2"/>
        <v>170</v>
      </c>
      <c r="I14">
        <f t="shared" si="2"/>
        <v>170</v>
      </c>
      <c r="J14">
        <f t="shared" si="2"/>
        <v>170</v>
      </c>
      <c r="K14">
        <f t="shared" si="2"/>
        <v>170</v>
      </c>
      <c r="L14">
        <f t="shared" si="2"/>
        <v>170</v>
      </c>
      <c r="M14">
        <f t="shared" si="2"/>
        <v>36</v>
      </c>
      <c r="N14">
        <f t="shared" si="2"/>
        <v>9</v>
      </c>
      <c r="O14">
        <f t="shared" si="2"/>
        <v>241</v>
      </c>
      <c r="P14">
        <f t="shared" si="2"/>
        <v>25</v>
      </c>
      <c r="Q14">
        <f t="shared" si="2"/>
        <v>0</v>
      </c>
      <c r="R14">
        <f t="shared" si="2"/>
        <v>14</v>
      </c>
      <c r="S14">
        <f t="shared" si="2"/>
        <v>161</v>
      </c>
      <c r="T14">
        <f t="shared" si="2"/>
        <v>14</v>
      </c>
      <c r="U14">
        <f t="shared" si="2"/>
        <v>155</v>
      </c>
      <c r="V14">
        <f t="shared" si="2"/>
        <v>39</v>
      </c>
      <c r="W14">
        <f t="shared" si="2"/>
        <v>17</v>
      </c>
      <c r="X14">
        <f t="shared" si="2"/>
        <v>29</v>
      </c>
      <c r="Z14">
        <f>SUM(D14:W14)</f>
        <v>2021</v>
      </c>
      <c r="AA14">
        <f>MOD(Z14,256)</f>
        <v>229</v>
      </c>
      <c r="AB14" t="str">
        <f>DEC2HEX(AA14)</f>
        <v>E5</v>
      </c>
    </row>
    <row r="15" spans="1:29">
      <c r="A15" t="s">
        <v>23</v>
      </c>
      <c r="B15" t="str">
        <f>B13</f>
        <v>FE</v>
      </c>
      <c r="C15" t="str">
        <f t="shared" ref="C15:W15" si="3">C13</f>
        <v>FE</v>
      </c>
      <c r="D15">
        <f t="shared" si="3"/>
        <v>68</v>
      </c>
      <c r="E15">
        <f t="shared" si="3"/>
        <v>10</v>
      </c>
      <c r="F15" t="str">
        <f t="shared" si="3"/>
        <v>AA</v>
      </c>
      <c r="G15" t="str">
        <f t="shared" si="3"/>
        <v>AA</v>
      </c>
      <c r="H15" t="str">
        <f t="shared" si="3"/>
        <v>AA</v>
      </c>
      <c r="I15" t="str">
        <f t="shared" si="3"/>
        <v>AA</v>
      </c>
      <c r="J15" t="str">
        <f t="shared" si="3"/>
        <v>AA</v>
      </c>
      <c r="K15" t="str">
        <f t="shared" si="3"/>
        <v>AA</v>
      </c>
      <c r="L15" t="str">
        <f t="shared" si="3"/>
        <v>AA</v>
      </c>
      <c r="M15">
        <f t="shared" si="3"/>
        <v>24</v>
      </c>
      <c r="N15">
        <f t="shared" si="3"/>
        <v>9</v>
      </c>
      <c r="O15" t="str">
        <f t="shared" si="3"/>
        <v>F1</v>
      </c>
      <c r="P15">
        <f t="shared" si="3"/>
        <v>19</v>
      </c>
      <c r="Q15">
        <f t="shared" si="3"/>
        <v>0</v>
      </c>
      <c r="R15" t="str">
        <f t="shared" si="3"/>
        <v>E</v>
      </c>
      <c r="S15" t="str">
        <f t="shared" si="3"/>
        <v>A1</v>
      </c>
      <c r="T15" t="str">
        <f t="shared" si="3"/>
        <v>E</v>
      </c>
      <c r="U15" t="str">
        <f t="shared" si="3"/>
        <v>9B</v>
      </c>
      <c r="V15" t="str">
        <f t="shared" si="3"/>
        <v>27</v>
      </c>
      <c r="W15" t="str">
        <f t="shared" si="3"/>
        <v>11</v>
      </c>
      <c r="X15" t="str">
        <f>AB14</f>
        <v>E5</v>
      </c>
      <c r="Y15">
        <v>16</v>
      </c>
    </row>
    <row r="16" spans="1:29">
      <c r="B16">
        <f>LEN(B15)</f>
        <v>2</v>
      </c>
      <c r="C16">
        <f t="shared" ref="C16:Y16" si="4">LEN(C15)</f>
        <v>2</v>
      </c>
      <c r="D16">
        <f t="shared" si="4"/>
        <v>2</v>
      </c>
      <c r="E16">
        <f t="shared" si="4"/>
        <v>2</v>
      </c>
      <c r="F16">
        <f t="shared" si="4"/>
        <v>2</v>
      </c>
      <c r="G16">
        <f t="shared" si="4"/>
        <v>2</v>
      </c>
      <c r="H16">
        <f t="shared" si="4"/>
        <v>2</v>
      </c>
      <c r="I16">
        <f t="shared" si="4"/>
        <v>2</v>
      </c>
      <c r="J16">
        <f t="shared" si="4"/>
        <v>2</v>
      </c>
      <c r="K16">
        <f t="shared" si="4"/>
        <v>2</v>
      </c>
      <c r="L16">
        <f t="shared" si="4"/>
        <v>2</v>
      </c>
      <c r="M16">
        <f t="shared" si="4"/>
        <v>2</v>
      </c>
      <c r="N16">
        <f t="shared" si="4"/>
        <v>1</v>
      </c>
      <c r="O16">
        <f t="shared" si="4"/>
        <v>2</v>
      </c>
      <c r="P16">
        <f t="shared" si="4"/>
        <v>2</v>
      </c>
      <c r="Q16">
        <f t="shared" si="4"/>
        <v>1</v>
      </c>
      <c r="R16">
        <f t="shared" si="4"/>
        <v>1</v>
      </c>
      <c r="S16">
        <f t="shared" si="4"/>
        <v>2</v>
      </c>
      <c r="T16">
        <f t="shared" si="4"/>
        <v>1</v>
      </c>
      <c r="U16">
        <f t="shared" si="4"/>
        <v>2</v>
      </c>
      <c r="V16">
        <f t="shared" si="4"/>
        <v>2</v>
      </c>
      <c r="W16">
        <f t="shared" si="4"/>
        <v>2</v>
      </c>
      <c r="X16">
        <f t="shared" si="4"/>
        <v>2</v>
      </c>
      <c r="Y16">
        <f t="shared" si="4"/>
        <v>2</v>
      </c>
    </row>
    <row r="17" spans="2:25">
      <c r="B17" t="str">
        <f>IF(B16&gt;1,B15,"0"&amp;B15)</f>
        <v>FE</v>
      </c>
      <c r="C17" t="str">
        <f t="shared" ref="C17:Y17" si="5">IF(C16&gt;1,C15,"0"&amp;C15)</f>
        <v>FE</v>
      </c>
      <c r="D17">
        <f t="shared" si="5"/>
        <v>68</v>
      </c>
      <c r="E17">
        <f t="shared" si="5"/>
        <v>10</v>
      </c>
      <c r="F17" t="str">
        <f t="shared" si="5"/>
        <v>AA</v>
      </c>
      <c r="G17" t="str">
        <f t="shared" si="5"/>
        <v>AA</v>
      </c>
      <c r="H17" t="str">
        <f t="shared" si="5"/>
        <v>AA</v>
      </c>
      <c r="I17" t="str">
        <f t="shared" si="5"/>
        <v>AA</v>
      </c>
      <c r="J17" t="str">
        <f t="shared" si="5"/>
        <v>AA</v>
      </c>
      <c r="K17" t="str">
        <f t="shared" si="5"/>
        <v>AA</v>
      </c>
      <c r="L17" t="str">
        <f t="shared" si="5"/>
        <v>AA</v>
      </c>
      <c r="M17">
        <f t="shared" si="5"/>
        <v>24</v>
      </c>
      <c r="N17" t="str">
        <f t="shared" si="5"/>
        <v>09</v>
      </c>
      <c r="O17" t="str">
        <f t="shared" si="5"/>
        <v>F1</v>
      </c>
      <c r="P17">
        <f t="shared" si="5"/>
        <v>19</v>
      </c>
      <c r="Q17" t="str">
        <f t="shared" si="5"/>
        <v>00</v>
      </c>
      <c r="R17" t="str">
        <f t="shared" si="5"/>
        <v>0E</v>
      </c>
      <c r="S17" t="str">
        <f t="shared" si="5"/>
        <v>A1</v>
      </c>
      <c r="T17" t="str">
        <f t="shared" si="5"/>
        <v>0E</v>
      </c>
      <c r="U17" t="str">
        <f t="shared" si="5"/>
        <v>9B</v>
      </c>
      <c r="V17" t="str">
        <f t="shared" si="5"/>
        <v>27</v>
      </c>
      <c r="W17" t="str">
        <f t="shared" si="5"/>
        <v>11</v>
      </c>
      <c r="X17" t="str">
        <f t="shared" si="5"/>
        <v>E5</v>
      </c>
      <c r="Y17">
        <f t="shared" si="5"/>
        <v>16</v>
      </c>
    </row>
    <row r="18" spans="2:25">
      <c r="B18" s="1" t="str">
        <f>"$"&amp;B17&amp;"$"&amp;C17&amp;"$"&amp;D17&amp;"$"&amp;E17&amp;"$"&amp;F17&amp;"$"&amp;G17&amp;"$"&amp;H17&amp;"$"&amp;I17&amp;"$"&amp;J17&amp;"$"&amp;K17&amp;"$"&amp;L17&amp;"$"&amp;M17&amp;"$"&amp;N17&amp;"$"&amp;O17&amp;"$"&amp;P17&amp;"$"&amp;Q17&amp;"$"&amp;R17&amp;"$"&amp;S17&amp;"$"&amp;T17&amp;"$"&amp;U17&amp;"$"&amp;V17&amp;"$"&amp;W17&amp;"$"&amp;X17&amp;"$"&amp;Y17</f>
        <v>$FE$FE$68$10$AA$AA$AA$AA$AA$AA$AA$24$09$F1$19$00$0E$A1$0E$9B$27$11$E5$16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8"/>
  <sheetViews>
    <sheetView workbookViewId="0">
      <selection activeCell="W15" sqref="W15"/>
    </sheetView>
  </sheetViews>
  <sheetFormatPr defaultColWidth="9" defaultRowHeight="15"/>
  <cols>
    <col min="2" max="2" width="14.42578125"/>
    <col min="3" max="4" width="4.5703125" customWidth="1"/>
    <col min="5" max="5" width="3.5703125" customWidth="1"/>
    <col min="6" max="12" width="4.5703125" customWidth="1"/>
    <col min="13" max="14" width="3.5703125" customWidth="1"/>
    <col min="15" max="15" width="4.5703125" customWidth="1"/>
    <col min="16" max="16" width="3.5703125" customWidth="1"/>
    <col min="17" max="17" width="4.7109375" customWidth="1"/>
    <col min="18" max="18" width="4" customWidth="1"/>
    <col min="19" max="19" width="4.5703125" customWidth="1"/>
    <col min="20" max="20" width="4" customWidth="1"/>
    <col min="21" max="21" width="4.5703125" customWidth="1"/>
    <col min="22" max="22" width="6.5703125" customWidth="1"/>
    <col min="23" max="23" width="3.5703125" customWidth="1"/>
    <col min="24" max="24" width="3.7109375" customWidth="1"/>
    <col min="25" max="25" width="3.5703125" customWidth="1"/>
    <col min="26" max="26" width="5.5703125" customWidth="1"/>
    <col min="27" max="27" width="4.5703125" customWidth="1"/>
  </cols>
  <sheetData>
    <row r="1" spans="1:30"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</row>
    <row r="2" spans="1:30">
      <c r="A2" t="s">
        <v>21</v>
      </c>
      <c r="B2" t="s">
        <v>22</v>
      </c>
      <c r="R2" s="4">
        <v>14</v>
      </c>
      <c r="S2" s="4">
        <v>225</v>
      </c>
      <c r="T2" s="4">
        <v>241</v>
      </c>
      <c r="U2" s="4">
        <v>230</v>
      </c>
      <c r="V2" s="4">
        <v>8000</v>
      </c>
    </row>
    <row r="3" spans="1:30">
      <c r="B3" t="s">
        <v>1</v>
      </c>
      <c r="C3" t="s">
        <v>1</v>
      </c>
      <c r="D3">
        <v>68</v>
      </c>
      <c r="E3">
        <v>10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>
        <v>24</v>
      </c>
      <c r="N3">
        <v>9</v>
      </c>
      <c r="O3" t="s">
        <v>5</v>
      </c>
      <c r="P3">
        <v>19</v>
      </c>
      <c r="Q3">
        <v>0</v>
      </c>
      <c r="R3" s="4" t="str">
        <f t="shared" ref="R3:U3" si="0">DEC2HEX(R2)</f>
        <v>E</v>
      </c>
      <c r="S3" s="4" t="str">
        <f t="shared" si="0"/>
        <v>E1</v>
      </c>
      <c r="T3" s="4" t="str">
        <f t="shared" si="0"/>
        <v>F1</v>
      </c>
      <c r="U3" s="4" t="str">
        <f t="shared" si="0"/>
        <v>E6</v>
      </c>
      <c r="V3" s="4" t="str">
        <f>DEC2HEX(V2/256)</f>
        <v>1F</v>
      </c>
      <c r="W3" s="4" t="str">
        <f>DEC2HEX(MOD(V2,256))</f>
        <v>40</v>
      </c>
      <c r="X3" t="s">
        <v>14</v>
      </c>
      <c r="Y3">
        <v>16</v>
      </c>
    </row>
    <row r="4" spans="1:30">
      <c r="B4">
        <f t="shared" ref="B4:X4" si="1">HEX2DEC(B3)</f>
        <v>254</v>
      </c>
      <c r="C4">
        <f t="shared" si="1"/>
        <v>254</v>
      </c>
      <c r="D4">
        <f t="shared" si="1"/>
        <v>104</v>
      </c>
      <c r="E4">
        <f t="shared" si="1"/>
        <v>16</v>
      </c>
      <c r="F4">
        <f t="shared" si="1"/>
        <v>170</v>
      </c>
      <c r="G4">
        <f t="shared" si="1"/>
        <v>170</v>
      </c>
      <c r="H4">
        <f t="shared" si="1"/>
        <v>170</v>
      </c>
      <c r="I4">
        <f t="shared" si="1"/>
        <v>170</v>
      </c>
      <c r="J4">
        <f t="shared" si="1"/>
        <v>170</v>
      </c>
      <c r="K4">
        <f t="shared" si="1"/>
        <v>170</v>
      </c>
      <c r="L4">
        <f t="shared" si="1"/>
        <v>170</v>
      </c>
      <c r="M4">
        <f t="shared" si="1"/>
        <v>36</v>
      </c>
      <c r="N4">
        <f t="shared" si="1"/>
        <v>9</v>
      </c>
      <c r="O4">
        <f t="shared" si="1"/>
        <v>241</v>
      </c>
      <c r="P4">
        <f t="shared" si="1"/>
        <v>25</v>
      </c>
      <c r="Q4">
        <f t="shared" si="1"/>
        <v>0</v>
      </c>
      <c r="R4">
        <f t="shared" si="1"/>
        <v>14</v>
      </c>
      <c r="S4">
        <f t="shared" si="1"/>
        <v>225</v>
      </c>
      <c r="T4">
        <f t="shared" si="1"/>
        <v>241</v>
      </c>
      <c r="U4">
        <f t="shared" si="1"/>
        <v>230</v>
      </c>
      <c r="V4">
        <f t="shared" si="1"/>
        <v>31</v>
      </c>
      <c r="W4">
        <f t="shared" si="1"/>
        <v>64</v>
      </c>
      <c r="X4">
        <f t="shared" si="1"/>
        <v>29</v>
      </c>
      <c r="Z4">
        <f>SUM(D4:W4)</f>
        <v>2426</v>
      </c>
      <c r="AA4">
        <f>MOD(Z4,256)</f>
        <v>122</v>
      </c>
      <c r="AB4" t="str">
        <f>DEC2HEX(AA4)</f>
        <v>7A</v>
      </c>
    </row>
    <row r="5" spans="1:30">
      <c r="A5" t="s">
        <v>23</v>
      </c>
      <c r="B5" t="str">
        <f t="shared" ref="B5:W5" si="2">B3</f>
        <v>FE</v>
      </c>
      <c r="C5" t="str">
        <f t="shared" si="2"/>
        <v>FE</v>
      </c>
      <c r="D5">
        <f t="shared" si="2"/>
        <v>68</v>
      </c>
      <c r="E5">
        <f t="shared" si="2"/>
        <v>10</v>
      </c>
      <c r="F5" t="str">
        <f t="shared" si="2"/>
        <v>AA</v>
      </c>
      <c r="G5" t="str">
        <f t="shared" si="2"/>
        <v>AA</v>
      </c>
      <c r="H5" t="str">
        <f t="shared" si="2"/>
        <v>AA</v>
      </c>
      <c r="I5" t="str">
        <f t="shared" si="2"/>
        <v>AA</v>
      </c>
      <c r="J5" t="str">
        <f t="shared" si="2"/>
        <v>AA</v>
      </c>
      <c r="K5" t="str">
        <f t="shared" si="2"/>
        <v>AA</v>
      </c>
      <c r="L5" t="str">
        <f t="shared" si="2"/>
        <v>AA</v>
      </c>
      <c r="M5">
        <f t="shared" si="2"/>
        <v>24</v>
      </c>
      <c r="N5">
        <f t="shared" si="2"/>
        <v>9</v>
      </c>
      <c r="O5" t="str">
        <f t="shared" si="2"/>
        <v>F1</v>
      </c>
      <c r="P5">
        <f t="shared" si="2"/>
        <v>19</v>
      </c>
      <c r="Q5">
        <f t="shared" si="2"/>
        <v>0</v>
      </c>
      <c r="R5" t="str">
        <f t="shared" si="2"/>
        <v>E</v>
      </c>
      <c r="S5" t="str">
        <f t="shared" si="2"/>
        <v>E1</v>
      </c>
      <c r="T5" t="str">
        <f t="shared" si="2"/>
        <v>F1</v>
      </c>
      <c r="U5" t="str">
        <f t="shared" si="2"/>
        <v>E6</v>
      </c>
      <c r="V5" t="str">
        <f t="shared" si="2"/>
        <v>1F</v>
      </c>
      <c r="W5" t="str">
        <f t="shared" si="2"/>
        <v>40</v>
      </c>
      <c r="X5" t="str">
        <f>AB4</f>
        <v>7A</v>
      </c>
      <c r="Y5">
        <v>16</v>
      </c>
      <c r="AC5">
        <f>MOD(AB5,256)</f>
        <v>0</v>
      </c>
      <c r="AD5" t="str">
        <f>DEC2HEX(AC5)</f>
        <v>0</v>
      </c>
    </row>
    <row r="6" spans="1:30">
      <c r="B6">
        <f t="shared" ref="B6:Y6" si="3">LEN(B5)</f>
        <v>2</v>
      </c>
      <c r="C6">
        <f t="shared" si="3"/>
        <v>2</v>
      </c>
      <c r="D6">
        <f t="shared" si="3"/>
        <v>2</v>
      </c>
      <c r="E6">
        <f t="shared" si="3"/>
        <v>2</v>
      </c>
      <c r="F6">
        <f t="shared" si="3"/>
        <v>2</v>
      </c>
      <c r="G6">
        <f t="shared" si="3"/>
        <v>2</v>
      </c>
      <c r="H6">
        <f t="shared" si="3"/>
        <v>2</v>
      </c>
      <c r="I6">
        <f t="shared" si="3"/>
        <v>2</v>
      </c>
      <c r="J6">
        <f t="shared" si="3"/>
        <v>2</v>
      </c>
      <c r="K6">
        <f t="shared" si="3"/>
        <v>2</v>
      </c>
      <c r="L6">
        <f t="shared" si="3"/>
        <v>2</v>
      </c>
      <c r="M6">
        <f t="shared" si="3"/>
        <v>2</v>
      </c>
      <c r="N6">
        <f t="shared" si="3"/>
        <v>1</v>
      </c>
      <c r="O6">
        <f t="shared" si="3"/>
        <v>2</v>
      </c>
      <c r="P6">
        <f t="shared" si="3"/>
        <v>2</v>
      </c>
      <c r="Q6">
        <f t="shared" si="3"/>
        <v>1</v>
      </c>
      <c r="R6">
        <f t="shared" si="3"/>
        <v>1</v>
      </c>
      <c r="S6">
        <f t="shared" si="3"/>
        <v>2</v>
      </c>
      <c r="T6">
        <f t="shared" si="3"/>
        <v>2</v>
      </c>
      <c r="U6">
        <f t="shared" si="3"/>
        <v>2</v>
      </c>
      <c r="V6">
        <f t="shared" si="3"/>
        <v>2</v>
      </c>
      <c r="W6">
        <f t="shared" si="3"/>
        <v>2</v>
      </c>
      <c r="X6">
        <f t="shared" si="3"/>
        <v>2</v>
      </c>
      <c r="Y6">
        <f t="shared" si="3"/>
        <v>2</v>
      </c>
    </row>
    <row r="7" spans="1:30">
      <c r="B7" t="str">
        <f t="shared" ref="B7:Y7" si="4">IF(B6&gt;1,B5,"0"&amp;B5)</f>
        <v>FE</v>
      </c>
      <c r="C7" t="str">
        <f t="shared" si="4"/>
        <v>FE</v>
      </c>
      <c r="D7">
        <f t="shared" si="4"/>
        <v>68</v>
      </c>
      <c r="E7">
        <f t="shared" si="4"/>
        <v>10</v>
      </c>
      <c r="F7" t="str">
        <f t="shared" si="4"/>
        <v>AA</v>
      </c>
      <c r="G7" t="str">
        <f t="shared" si="4"/>
        <v>AA</v>
      </c>
      <c r="H7" t="str">
        <f t="shared" si="4"/>
        <v>AA</v>
      </c>
      <c r="I7" t="str">
        <f t="shared" si="4"/>
        <v>AA</v>
      </c>
      <c r="J7" t="str">
        <f t="shared" si="4"/>
        <v>AA</v>
      </c>
      <c r="K7" t="str">
        <f t="shared" si="4"/>
        <v>AA</v>
      </c>
      <c r="L7" t="str">
        <f t="shared" si="4"/>
        <v>AA</v>
      </c>
      <c r="M7">
        <f t="shared" si="4"/>
        <v>24</v>
      </c>
      <c r="N7" t="str">
        <f t="shared" si="4"/>
        <v>09</v>
      </c>
      <c r="O7" t="str">
        <f t="shared" si="4"/>
        <v>F1</v>
      </c>
      <c r="P7">
        <f t="shared" si="4"/>
        <v>19</v>
      </c>
      <c r="Q7" t="str">
        <f t="shared" si="4"/>
        <v>00</v>
      </c>
      <c r="R7" t="str">
        <f t="shared" si="4"/>
        <v>0E</v>
      </c>
      <c r="S7" t="str">
        <f t="shared" si="4"/>
        <v>E1</v>
      </c>
      <c r="T7" t="str">
        <f t="shared" si="4"/>
        <v>F1</v>
      </c>
      <c r="U7" t="str">
        <f t="shared" si="4"/>
        <v>E6</v>
      </c>
      <c r="V7" t="str">
        <f t="shared" si="4"/>
        <v>1F</v>
      </c>
      <c r="W7" t="str">
        <f t="shared" si="4"/>
        <v>40</v>
      </c>
      <c r="X7" t="str">
        <f t="shared" si="4"/>
        <v>7A</v>
      </c>
      <c r="Y7">
        <f t="shared" si="4"/>
        <v>16</v>
      </c>
    </row>
    <row r="8" spans="1:30">
      <c r="B8" s="1" t="str">
        <f>"$"&amp;B7&amp;"$"&amp;C7&amp;"$"&amp;D7&amp;"$"&amp;E7&amp;"$"&amp;F7&amp;"$"&amp;G7&amp;"$"&amp;H7&amp;"$"&amp;I7&amp;"$"&amp;J7&amp;"$"&amp;K7&amp;"$"&amp;L7&amp;"$"&amp;M7&amp;"$"&amp;N7&amp;"$"&amp;O7&amp;"$"&amp;P7&amp;"$"&amp;Q7&amp;"$"&amp;R7&amp;"$"&amp;S7&amp;"$"&amp;T7&amp;"$"&amp;U7&amp;"$"&amp;V7&amp;"$"&amp;W7&amp;"$"&amp;X7&amp;"$"&amp;Y7</f>
        <v>$FE$FE$68$10$AA$AA$AA$AA$AA$AA$AA$24$09$F1$19$00$0E$E1$F1$E6$1F$40$7A$16</v>
      </c>
      <c r="R8" s="4"/>
      <c r="S8" s="4"/>
      <c r="T8" s="4"/>
      <c r="U8" s="4"/>
      <c r="V8" s="4"/>
    </row>
    <row r="11" spans="1:30">
      <c r="B11" t="s">
        <v>24</v>
      </c>
    </row>
    <row r="12" spans="1:30">
      <c r="B12" t="s">
        <v>25</v>
      </c>
    </row>
    <row r="18" spans="2:2">
      <c r="B18" s="2">
        <v>14225241230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LHQ</dc:creator>
  <cp:lastModifiedBy>nguyen thanh nhan</cp:lastModifiedBy>
  <dcterms:created xsi:type="dcterms:W3CDTF">2024-12-13T14:00:00Z</dcterms:created>
  <dcterms:modified xsi:type="dcterms:W3CDTF">2025-01-20T02:18:40Z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41582D9983974B35AAD6E70136CADD86_11</vt:lpwstr>
  </property>
  <property fmtid="{D5CDD505-2E9C-101B-9397-08002B2CF9AE}" pid="3" name="KSOProductBuildVer">
    <vt:lpwstr>2057-12.2.0.18639</vt:lpwstr>
  </property>
</Properties>
</file>